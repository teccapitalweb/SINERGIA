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lución y dosis" sheetId="1" state="visible" r:id="rId3"/>
    <sheet name="Bitácora de preparación" sheetId="2" state="visible" r:id="rId4"/>
    <sheet name="Ahorro vs químic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<sst xmlns="http://schemas.openxmlformats.org/spreadsheetml/2006/main" count="49" uniqueCount="47">
  <si>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CALCULADORA DE DILUCIÓN Y DOSIS</t>
  </si>
  <si>
    <t xml:space="preserve">Elaboración de Biofertilizantes · Sinergia Agrícola</t>
  </si>
  <si>
    <t xml:space="preserve">Escribe tus datos SOLO en las celdas amarillas. Los resultados se calculan solos.</t>
  </si>
  <si>
    <t xml:space="preserve">1 · DATOS DE TU APLICACIÓN</t>
  </si>
  <si>
    <t xml:space="preserve">Superficie a tratar (m²)</t>
  </si>
  <si>
    <t xml:space="preserve">Área del cultivo</t>
  </si>
  <si>
    <t xml:space="preserve">Volumen de agua por m² (L)</t>
  </si>
  <si>
    <t xml:space="preserve">Depende del equipo de aplicación</t>
  </si>
  <si>
    <t xml:space="preserve">Dilución del biol (1 : X)</t>
  </si>
  <si>
    <t xml:space="preserve">Campo abierto 10-20 · Invernadero 20-30</t>
  </si>
  <si>
    <t xml:space="preserve">Costo del biol por litro ($)</t>
  </si>
  <si>
    <t xml:space="preserve">Tu costo real de producción</t>
  </si>
  <si>
    <t xml:space="preserve">2 · RESULTADOS</t>
  </si>
  <si>
    <t xml:space="preserve">Volumen total de mezcla (L)</t>
  </si>
  <si>
    <t xml:space="preserve">litros</t>
  </si>
  <si>
    <t xml:space="preserve">Biol concentrado necesario (L)</t>
  </si>
  <si>
    <t xml:space="preserve">Agua necesaria (L)</t>
  </si>
  <si>
    <t xml:space="preserve">Costo de la aplicación ($)</t>
  </si>
  <si>
    <t xml:space="preserve">pesos</t>
  </si>
  <si>
    <t xml:space="preserve">Nota: la dilución 1:15 significa 1 parte de biol por 15 de agua.</t>
  </si>
  <si>
    <t xml:space="preserve">BITÁCORA DE PREPARACIÓN</t>
  </si>
  <si>
    <t xml:space="preserve">Registra tus lotes · calcula días de fermentación</t>
  </si>
  <si>
    <t xml:space="preserve">Fecha inicio</t>
  </si>
  <si>
    <t xml:space="preserve">Preparado</t>
  </si>
  <si>
    <t xml:space="preserve">Volumen (L)</t>
  </si>
  <si>
    <t xml:space="preserve">Fecha listo</t>
  </si>
  <si>
    <t xml:space="preserve">Días</t>
  </si>
  <si>
    <t xml:space="preserve">Observaciones</t>
  </si>
  <si>
    <t xml:space="preserve">Llena las celdas amarillas. Los días de fermentación se calculan solos.</t>
  </si>
  <si>
    <t xml:space="preserve">Referencia: Biol 30-90 días · Composta 60-120 · Té 1-2 días · Purín 10-20 días</t>
  </si>
  <si>
    <t xml:space="preserve">AHORRO FRENTE AL FERTILIZANTE QUÍMICO</t>
  </si>
  <si>
    <t xml:space="preserve">Calcula cuánto te ahorras por ciclo</t>
  </si>
  <si>
    <t xml:space="preserve">1 · TU GASTO ACTUAL EN QUÍMICOS (por ciclo)</t>
  </si>
  <si>
    <t xml:space="preserve">Fertilizante sintético ($)</t>
  </si>
  <si>
    <t xml:space="preserve">Otros insumos químicos ($)</t>
  </si>
  <si>
    <t xml:space="preserve">GASTO TOTAL ACTUAL</t>
  </si>
  <si>
    <t xml:space="preserve">2 · TU PLAN CON BIOFERTILIZANTES</t>
  </si>
  <si>
    <t xml:space="preserve">% que sustituyes con biofertilizante</t>
  </si>
  <si>
    <t xml:space="preserve">Costo de producir tus biofertilizantes ($)</t>
  </si>
  <si>
    <t xml:space="preserve">Ajusta el % con tu propio criterio. Se recomienda empezar en 30-50%.</t>
  </si>
  <si>
    <t xml:space="preserve">3 · RESULTADO</t>
  </si>
  <si>
    <t xml:space="preserve">Gasto en químico que se mantiene</t>
  </si>
  <si>
    <t xml:space="preserve">Costo de biofertilizantes</t>
  </si>
  <si>
    <t xml:space="preserve">NUEVO GASTO TOTAL</t>
  </si>
  <si>
    <t xml:space="preserve">AHORRO POR CICLO</t>
  </si>
  <si>
    <t xml:space="preserve">Ahorro (%)</t>
  </si>
  <si>
    <t xml:space="preserve">Este cálculo no considera la mejora del suelo a mediano plazo, que suele ser el mayor beneficio.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</si>
</sst>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\$#,##0.00"/>
    <numFmt numFmtId="167" formatCode="dd/mm/yyyy"/>
    <numFmt numFmtId="168" formatCode="0"/>
    <numFmt numFmtId="169" formatCode="\$#,##0"/>
    <numFmt numFmtId="170" formatCode="0%"/>
    <numFmt numFmtId="171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5803D"/>
      <name val="Arial"/>
      <family val="0"/>
      <charset val="1"/>
    </font>
    <font>
      <i val="true"/>
      <sz val="9"/>
      <color rgb="FF555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0"/>
      <color rgb="FF1580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A34A"/>
        <bgColor rgb="FF15803D"/>
      </patternFill>
    </fill>
    <fill>
      <patternFill patternType="solid">
        <fgColor rgb="FFF0FDF4"/>
        <bgColor rgb="FFFFFFFF"/>
      </patternFill>
    </fill>
    <fill>
      <patternFill patternType="solid">
        <fgColor rgb="FF15803D"/>
        <bgColor rgb="FF008080"/>
      </patternFill>
    </fill>
    <fill>
      <patternFill patternType="solid">
        <fgColor rgb="FFFFF9C4"/>
        <bgColor rgb="FFFFFF99"/>
      </patternFill>
    </fill>
    <fill>
      <patternFill patternType="solid">
        <fgColor rgb="FFDCFCE7"/>
        <bgColor rgb="FFF0FD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5E7E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6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2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</row>
    <row r="7" customFormat="false" ht="15" hidden="false" customHeight="false" outlineLevel="0" collapsed="false">
      <c r="B7" s="4" t="s">
        <v>3</v>
      </c>
      <c r="C7" s="5"/>
      <c r="D7" s="5"/>
      <c r="E7" s="5"/>
      <c r="F7" s="5"/>
    </row>
    <row r="8" customFormat="false" ht="15" hidden="false" customHeight="false" outlineLevel="0" collapsed="false">
      <c r="B8" s="6" t="s">
        <v>4</v>
      </c>
      <c r="C8" s="7" t="n">
        <v>1000</v>
      </c>
      <c r="F8" s="8" t="s">
        <v>5</v>
      </c>
    </row>
    <row r="9" customFormat="false" ht="15" hidden="false" customHeight="false" outlineLevel="0" collapsed="false">
      <c r="B9" s="6" t="s">
        <v>6</v>
      </c>
      <c r="C9" s="7" t="n">
        <v>0.5</v>
      </c>
      <c r="F9" s="8" t="s">
        <v>7</v>
      </c>
    </row>
    <row r="10" customFormat="false" ht="22.35" hidden="false" customHeight="false" outlineLevel="0" collapsed="false">
      <c r="B10" s="6" t="s">
        <v>8</v>
      </c>
      <c r="C10" s="7" t="n">
        <v>15</v>
      </c>
      <c r="F10" s="8" t="s">
        <v>9</v>
      </c>
    </row>
    <row r="11" customFormat="false" ht="15" hidden="false" customHeight="false" outlineLevel="0" collapsed="false">
      <c r="B11" s="6" t="s">
        <v>10</v>
      </c>
      <c r="C11" s="7" t="n">
        <v>1.5</v>
      </c>
      <c r="F11" s="8" t="s">
        <v>11</v>
      </c>
    </row>
    <row r="13" customFormat="false" ht="15" hidden="false" customHeight="false" outlineLevel="0" collapsed="false">
      <c r="B13" s="4" t="s">
        <v>12</v>
      </c>
      <c r="C13" s="5"/>
      <c r="D13" s="5"/>
      <c r="E13" s="5"/>
      <c r="F13" s="5"/>
    </row>
    <row r="14" customFormat="false" ht="15" hidden="false" customHeight="false" outlineLevel="0" collapsed="false">
      <c r="B14" s="9" t="s">
        <v>13</v>
      </c>
      <c r="C14" s="10" t="n">
        <f aca="false">C8*C9</f>
        <v>500</v>
      </c>
      <c r="D14" s="11" t="s">
        <v>14</v>
      </c>
      <c r="E14" s="12"/>
      <c r="F14" s="12"/>
    </row>
    <row r="15" customFormat="false" ht="15" hidden="false" customHeight="false" outlineLevel="0" collapsed="false">
      <c r="B15" s="9" t="s">
        <v>15</v>
      </c>
      <c r="C15" s="10" t="n">
        <f aca="false">IF(C10=0,0,(C8*C9)/(C10+1))</f>
        <v>31.25</v>
      </c>
      <c r="D15" s="11" t="s">
        <v>14</v>
      </c>
      <c r="E15" s="12"/>
      <c r="F15" s="12"/>
    </row>
    <row r="16" customFormat="false" ht="15" hidden="false" customHeight="false" outlineLevel="0" collapsed="false">
      <c r="B16" s="9" t="s">
        <v>16</v>
      </c>
      <c r="C16" s="10" t="n">
        <f aca="false">IF(C10=0,0,(C8*C9)-((C8*C9)/(C10+1)))</f>
        <v>468.75</v>
      </c>
      <c r="D16" s="11" t="s">
        <v>14</v>
      </c>
      <c r="E16" s="12"/>
      <c r="F16" s="12"/>
    </row>
    <row r="17" customFormat="false" ht="15" hidden="false" customHeight="false" outlineLevel="0" collapsed="false">
      <c r="B17" s="9" t="s">
        <v>17</v>
      </c>
      <c r="C17" s="13" t="n">
        <f aca="false">IF(C10=0,0,((C8*C9)/(C10+1))*C11)</f>
        <v>46.875</v>
      </c>
      <c r="D17" s="11" t="s">
        <v>18</v>
      </c>
      <c r="E17" s="12"/>
      <c r="F17" s="12"/>
    </row>
    <row r="19" customFormat="false" ht="15" hidden="false" customHeight="false" outlineLevel="0" collapsed="false">
      <c r="B19" s="3" t="s">
        <v>19</v>
      </c>
      <c r="C19" s="3"/>
      <c r="D19" s="3"/>
      <c r="E19" s="3"/>
      <c r="F19" s="3"/>
    </row>
  </sheetData>
  <mergeCells count="4">
    <mergeCell ref="A1:F2"/>
    <mergeCell ref="A3:F3"/>
    <mergeCell ref="B5:F5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19.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</row>
    <row r="3" customFormat="false" ht="19.5" hidden="false" customHeight="true" outlineLevel="0" collapsed="false">
      <c r="A3" s="2" t="s">
        <v>21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B5" s="14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</row>
    <row r="6" customFormat="false" ht="15" hidden="false" customHeight="false" outlineLevel="0" collapsed="false">
      <c r="B6" s="15"/>
      <c r="C6" s="7"/>
      <c r="D6" s="7"/>
      <c r="E6" s="15"/>
      <c r="F6" s="16" t="str">
        <f aca="false">IF(OR(B6="",E6=""),"",E6-B6)</f>
        <v/>
      </c>
      <c r="G6" s="7"/>
    </row>
    <row r="7" customFormat="false" ht="15" hidden="false" customHeight="false" outlineLevel="0" collapsed="false">
      <c r="B7" s="15"/>
      <c r="C7" s="7"/>
      <c r="D7" s="7"/>
      <c r="E7" s="15"/>
      <c r="F7" s="16" t="str">
        <f aca="false">IF(OR(B7="",E7=""),"",E7-B7)</f>
        <v/>
      </c>
      <c r="G7" s="7"/>
    </row>
    <row r="8" customFormat="false" ht="15" hidden="false" customHeight="false" outlineLevel="0" collapsed="false">
      <c r="B8" s="15"/>
      <c r="C8" s="7"/>
      <c r="D8" s="7"/>
      <c r="E8" s="15"/>
      <c r="F8" s="16" t="str">
        <f aca="false">IF(OR(B8="",E8=""),"",E8-B8)</f>
        <v/>
      </c>
      <c r="G8" s="7"/>
    </row>
    <row r="9" customFormat="false" ht="15" hidden="false" customHeight="false" outlineLevel="0" collapsed="false">
      <c r="B9" s="15"/>
      <c r="C9" s="7"/>
      <c r="D9" s="7"/>
      <c r="E9" s="15"/>
      <c r="F9" s="16" t="str">
        <f aca="false">IF(OR(B9="",E9=""),"",E9-B9)</f>
        <v/>
      </c>
      <c r="G9" s="7"/>
    </row>
    <row r="10" customFormat="false" ht="15" hidden="false" customHeight="false" outlineLevel="0" collapsed="false">
      <c r="B10" s="15"/>
      <c r="C10" s="7"/>
      <c r="D10" s="7"/>
      <c r="E10" s="15"/>
      <c r="F10" s="16" t="str">
        <f aca="false">IF(OR(B10="",E10=""),"",E10-B10)</f>
        <v/>
      </c>
      <c r="G10" s="7"/>
    </row>
    <row r="11" customFormat="false" ht="15" hidden="false" customHeight="false" outlineLevel="0" collapsed="false">
      <c r="B11" s="15"/>
      <c r="C11" s="7"/>
      <c r="D11" s="7"/>
      <c r="E11" s="15"/>
      <c r="F11" s="16" t="str">
        <f aca="false">IF(OR(B11="",E11=""),"",E11-B11)</f>
        <v/>
      </c>
      <c r="G11" s="7"/>
    </row>
    <row r="12" customFormat="false" ht="15" hidden="false" customHeight="false" outlineLevel="0" collapsed="false">
      <c r="B12" s="15"/>
      <c r="C12" s="7"/>
      <c r="D12" s="7"/>
      <c r="E12" s="15"/>
      <c r="F12" s="16" t="str">
        <f aca="false">IF(OR(B12="",E12=""),"",E12-B12)</f>
        <v/>
      </c>
      <c r="G12" s="7"/>
    </row>
    <row r="13" customFormat="false" ht="15" hidden="false" customHeight="false" outlineLevel="0" collapsed="false">
      <c r="B13" s="15"/>
      <c r="C13" s="7"/>
      <c r="D13" s="7"/>
      <c r="E13" s="15"/>
      <c r="F13" s="16" t="str">
        <f aca="false">IF(OR(B13="",E13=""),"",E13-B13)</f>
        <v/>
      </c>
      <c r="G13" s="7"/>
    </row>
    <row r="14" customFormat="false" ht="15" hidden="false" customHeight="false" outlineLevel="0" collapsed="false">
      <c r="B14" s="15"/>
      <c r="C14" s="7"/>
      <c r="D14" s="7"/>
      <c r="E14" s="15"/>
      <c r="F14" s="16" t="str">
        <f aca="false">IF(OR(B14="",E14=""),"",E14-B14)</f>
        <v/>
      </c>
      <c r="G14" s="7"/>
    </row>
    <row r="15" customFormat="false" ht="15" hidden="false" customHeight="false" outlineLevel="0" collapsed="false">
      <c r="B15" s="15"/>
      <c r="C15" s="7"/>
      <c r="D15" s="7"/>
      <c r="E15" s="15"/>
      <c r="F15" s="16" t="str">
        <f aca="false">IF(OR(B15="",E15=""),"",E15-B15)</f>
        <v/>
      </c>
      <c r="G15" s="7"/>
    </row>
    <row r="16" customFormat="false" ht="15" hidden="false" customHeight="false" outlineLevel="0" collapsed="false">
      <c r="B16" s="15"/>
      <c r="C16" s="7"/>
      <c r="D16" s="7"/>
      <c r="E16" s="15"/>
      <c r="F16" s="16" t="str">
        <f aca="false">IF(OR(B16="",E16=""),"",E16-B16)</f>
        <v/>
      </c>
      <c r="G16" s="7"/>
    </row>
    <row r="17" customFormat="false" ht="15" hidden="false" customHeight="false" outlineLevel="0" collapsed="false">
      <c r="B17" s="15"/>
      <c r="C17" s="7"/>
      <c r="D17" s="7"/>
      <c r="E17" s="15"/>
      <c r="F17" s="16" t="str">
        <f aca="false">IF(OR(B17="",E17=""),"",E17-B17)</f>
        <v/>
      </c>
      <c r="G17" s="7"/>
    </row>
    <row r="18" customFormat="false" ht="15" hidden="false" customHeight="false" outlineLevel="0" collapsed="false">
      <c r="B18" s="15"/>
      <c r="C18" s="7"/>
      <c r="D18" s="7"/>
      <c r="E18" s="15"/>
      <c r="F18" s="16" t="str">
        <f aca="false">IF(OR(B18="",E18=""),"",E18-B18)</f>
        <v/>
      </c>
      <c r="G18" s="7"/>
    </row>
    <row r="19" customFormat="false" ht="15" hidden="false" customHeight="false" outlineLevel="0" collapsed="false">
      <c r="B19" s="15"/>
      <c r="C19" s="7"/>
      <c r="D19" s="7"/>
      <c r="E19" s="15"/>
      <c r="F19" s="16" t="str">
        <f aca="false">IF(OR(B19="",E19=""),"",E19-B19)</f>
        <v/>
      </c>
      <c r="G19" s="7"/>
    </row>
    <row r="20" customFormat="false" ht="15" hidden="false" customHeight="false" outlineLevel="0" collapsed="false">
      <c r="B20" s="15"/>
      <c r="C20" s="7"/>
      <c r="D20" s="7"/>
      <c r="E20" s="15"/>
      <c r="F20" s="16" t="str">
        <f aca="false">IF(OR(B20="",E20=""),"",E20-B20)</f>
        <v/>
      </c>
      <c r="G20" s="7"/>
    </row>
    <row r="22" customFormat="false" ht="15" hidden="false" customHeight="false" outlineLevel="0" collapsed="false">
      <c r="B22" s="3" t="s">
        <v>28</v>
      </c>
      <c r="C22" s="3"/>
      <c r="D22" s="3"/>
      <c r="E22" s="3"/>
      <c r="F22" s="3"/>
      <c r="G22" s="3"/>
    </row>
    <row r="23" customFormat="false" ht="15" hidden="false" customHeight="false" outlineLevel="0" collapsed="false">
      <c r="B23" s="3" t="s">
        <v>29</v>
      </c>
      <c r="C23" s="3"/>
      <c r="D23" s="3"/>
      <c r="E23" s="3"/>
      <c r="F23" s="3"/>
      <c r="G23" s="3"/>
    </row>
  </sheetData>
  <mergeCells count="4">
    <mergeCell ref="A1:G2"/>
    <mergeCell ref="A3:G3"/>
    <mergeCell ref="B22:G2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24"/>
  </cols>
  <sheetData>
    <row r="1" customFormat="false" ht="19.5" hidden="false" customHeight="true" outlineLevel="0" collapsed="false">
      <c r="A1" s="1" t="s">
        <v>30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</row>
    <row r="3" customFormat="false" ht="19.5" hidden="false" customHeight="true" outlineLevel="0" collapsed="false">
      <c r="A3" s="2" t="s">
        <v>31</v>
      </c>
      <c r="B3" s="2"/>
      <c r="C3" s="2"/>
      <c r="D3" s="2"/>
      <c r="E3" s="2"/>
      <c r="F3" s="2"/>
    </row>
    <row r="5" customFormat="false" ht="15" hidden="false" customHeight="false" outlineLevel="0" collapsed="false">
      <c r="B5" s="4" t="s">
        <v>32</v>
      </c>
      <c r="C5" s="5"/>
      <c r="D5" s="5"/>
      <c r="E5" s="5"/>
      <c r="F5" s="5"/>
    </row>
    <row r="6" customFormat="false" ht="15" hidden="false" customHeight="false" outlineLevel="0" collapsed="false">
      <c r="B6" s="6" t="s">
        <v>33</v>
      </c>
      <c r="C6" s="17" t="n">
        <v>12000</v>
      </c>
    </row>
    <row r="7" customFormat="false" ht="15" hidden="false" customHeight="false" outlineLevel="0" collapsed="false">
      <c r="B7" s="6" t="s">
        <v>34</v>
      </c>
      <c r="C7" s="17" t="n">
        <v>3000</v>
      </c>
    </row>
    <row r="8" customFormat="false" ht="15" hidden="false" customHeight="false" outlineLevel="0" collapsed="false">
      <c r="B8" s="18" t="s">
        <v>35</v>
      </c>
      <c r="C8" s="19" t="n">
        <f aca="false">C6+C7</f>
        <v>15000</v>
      </c>
    </row>
    <row r="10" customFormat="false" ht="15" hidden="false" customHeight="false" outlineLevel="0" collapsed="false">
      <c r="B10" s="4" t="s">
        <v>36</v>
      </c>
      <c r="C10" s="5"/>
      <c r="D10" s="5"/>
      <c r="E10" s="5"/>
      <c r="F10" s="5"/>
    </row>
    <row r="11" customFormat="false" ht="15" hidden="false" customHeight="false" outlineLevel="0" collapsed="false">
      <c r="B11" s="6" t="s">
        <v>37</v>
      </c>
      <c r="C11" s="20" t="n">
        <v>0.5</v>
      </c>
    </row>
    <row r="12" customFormat="false" ht="15" hidden="false" customHeight="false" outlineLevel="0" collapsed="false">
      <c r="B12" s="6" t="s">
        <v>38</v>
      </c>
      <c r="C12" s="17" t="n">
        <v>2500</v>
      </c>
    </row>
    <row r="13" customFormat="false" ht="15" hidden="false" customHeight="false" outlineLevel="0" collapsed="false">
      <c r="B13" s="3" t="s">
        <v>39</v>
      </c>
      <c r="C13" s="3"/>
      <c r="D13" s="3"/>
      <c r="E13" s="3"/>
      <c r="F13" s="3"/>
    </row>
    <row r="15" customFormat="false" ht="15" hidden="false" customHeight="false" outlineLevel="0" collapsed="false">
      <c r="B15" s="4" t="s">
        <v>40</v>
      </c>
      <c r="C15" s="5"/>
      <c r="D15" s="5"/>
      <c r="E15" s="5"/>
      <c r="F15" s="5"/>
    </row>
    <row r="16" customFormat="false" ht="15" hidden="false" customHeight="false" outlineLevel="0" collapsed="false">
      <c r="B16" s="9" t="s">
        <v>41</v>
      </c>
      <c r="C16" s="21" t="n">
        <f aca="false">C8*(1-C11)</f>
        <v>7500</v>
      </c>
      <c r="D16" s="12"/>
      <c r="E16" s="12"/>
      <c r="F16" s="12"/>
    </row>
    <row r="17" customFormat="false" ht="15" hidden="false" customHeight="false" outlineLevel="0" collapsed="false">
      <c r="B17" s="9" t="s">
        <v>42</v>
      </c>
      <c r="C17" s="21" t="n">
        <f aca="false">C12</f>
        <v>2500</v>
      </c>
      <c r="D17" s="12"/>
      <c r="E17" s="12"/>
      <c r="F17" s="12"/>
    </row>
    <row r="18" customFormat="false" ht="15" hidden="false" customHeight="false" outlineLevel="0" collapsed="false">
      <c r="B18" s="9" t="s">
        <v>43</v>
      </c>
      <c r="C18" s="21" t="n">
        <f aca="false">C8*(1-C11)+C12</f>
        <v>10000</v>
      </c>
      <c r="D18" s="12"/>
      <c r="E18" s="12"/>
      <c r="F18" s="12"/>
    </row>
    <row r="19" customFormat="false" ht="15" hidden="false" customHeight="false" outlineLevel="0" collapsed="false">
      <c r="B19" s="9" t="s">
        <v>44</v>
      </c>
      <c r="C19" s="21" t="n">
        <f aca="false">C8-(C8*(1-C11)+C12)</f>
        <v>5000</v>
      </c>
      <c r="D19" s="12"/>
      <c r="E19" s="12"/>
      <c r="F19" s="12"/>
    </row>
    <row r="20" customFormat="false" ht="15" hidden="false" customHeight="false" outlineLevel="0" collapsed="false">
      <c r="B20" s="9" t="s">
        <v>45</v>
      </c>
      <c r="C20" s="22" t="n">
        <f aca="false">IF(C8=0,0,(C8-(C8*(1-C11)+C12))/C8)</f>
        <v>0.333333333333333</v>
      </c>
      <c r="D20" s="12"/>
      <c r="E20" s="12"/>
      <c r="F20" s="12"/>
    </row>
    <row r="22" customFormat="false" ht="15" hidden="false" customHeight="false" outlineLevel="0" collapsed="false">
      <c r="B22" s="3" t="s">
        <v>46</v>
      </c>
      <c r="C22" s="3"/>
      <c r="D22" s="3"/>
      <c r="E22" s="3"/>
      <c r="F22" s="3"/>
    </row>
  </sheetData>
  <mergeCells count="4">
    <mergeCell ref="A1:F2"/>
    <mergeCell ref="A3:F3"/>
    <mergeCell ref="B13:F13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2026-07-14T00:44:36Z</dcterms:created>
  <dc:creator>openpyxl</dc:creator>
  <dc:description/>
  <dc:language>en-US</dc:language>
  <cp:lastModifiedBy/>
  <dcterms:modified xsi:type="dcterms:W3CDTF">2026-07-14T00:44:36Z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