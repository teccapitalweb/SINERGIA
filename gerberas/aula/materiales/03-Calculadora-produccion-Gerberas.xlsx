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ución nutritiva" sheetId="1" state="visible" r:id="rId3"/>
    <sheet name="Registro de cosecha" sheetId="2" state="visible" r:id="rId4"/>
    <sheet name="Costos y rentabilida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<sst xmlns="http://schemas.openxmlformats.org/spreadsheetml/2006/main" count="55" uniqueCount="55">
  <si>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CALCULADORA DE SOLUCIÓN NUTRITIVA</t>
  </si>
  <si>
    <t xml:space="preserve">Cultivo y Manejo de Gerberas · Sinergia Agrícola</t>
  </si>
  <si>
    <t xml:space="preserve">Cómo usar esta hoja</t>
  </si>
  <si>
    <t xml:space="preserve">Escribe tus datos SOLO en las celdas azules (fondo amarillo). Los resultados se calculan solos.</t>
  </si>
  <si>
    <t xml:space="preserve">1 · DATOS DE TU CULTIVO</t>
  </si>
  <si>
    <t xml:space="preserve">Superficie de cultivo (m²)</t>
  </si>
  <si>
    <t xml:space="preserve">Área total sembrada</t>
  </si>
  <si>
    <t xml:space="preserve">Densidad de plantas (plantas/m²)</t>
  </si>
  <si>
    <t xml:space="preserve">Recomendado gerbera: 6–8</t>
  </si>
  <si>
    <t xml:space="preserve">Volumen de riego por planta (L/día)</t>
  </si>
  <si>
    <t xml:space="preserve">Ajusta según etapa y clima</t>
  </si>
  <si>
    <t xml:space="preserve">CE objetivo de la solución (mS/cm)</t>
  </si>
  <si>
    <t xml:space="preserve">Gerbera: 1.5–2.0 mS/cm</t>
  </si>
  <si>
    <t xml:space="preserve">pH objetivo</t>
  </si>
  <si>
    <t xml:space="preserve">Rango óptimo: 5.5–6.5</t>
  </si>
  <si>
    <t xml:space="preserve">2 · RESULTADOS CALCULADOS</t>
  </si>
  <si>
    <t xml:space="preserve">Total de plantas</t>
  </si>
  <si>
    <t xml:space="preserve">plantas</t>
  </si>
  <si>
    <t xml:space="preserve">Volumen total de riego por día (L)</t>
  </si>
  <si>
    <t xml:space="preserve">litros/día</t>
  </si>
  <si>
    <t xml:space="preserve">Volumen total por semana (L)</t>
  </si>
  <si>
    <t xml:space="preserve">litros/semana</t>
  </si>
  <si>
    <t xml:space="preserve">Volumen mensual estimado (L)</t>
  </si>
  <si>
    <t xml:space="preserve">litros/mes</t>
  </si>
  <si>
    <t xml:space="preserve">Nota: la CE y el pH objetivo son valores de referencia. Ajusta según tu análisis de agua.</t>
  </si>
  <si>
    <t xml:space="preserve">REGISTRO SEMANAL DE COSECHA</t>
  </si>
  <si>
    <t xml:space="preserve">Anota tu producción · se totaliza solo</t>
  </si>
  <si>
    <t xml:space="preserve">Fecha</t>
  </si>
  <si>
    <t xml:space="preserve">Variedad</t>
  </si>
  <si>
    <t xml:space="preserve">Tallos 1ª</t>
  </si>
  <si>
    <t xml:space="preserve">Tallos 2ª</t>
  </si>
  <si>
    <t xml:space="preserve">Total día</t>
  </si>
  <si>
    <t xml:space="preserve">TOTALES</t>
  </si>
  <si>
    <t xml:space="preserve">Llena las celdas amarillas. El total del día y los totales de la semana se calculan solos.</t>
  </si>
  <si>
    <t xml:space="preserve">COSTOS Y RENTABILIDAD</t>
  </si>
  <si>
    <t xml:space="preserve">Calcula tu costo por tallo y margen</t>
  </si>
  <si>
    <t xml:space="preserve">1 · COSTOS DE PRODUCCIÓN (por ciclo)</t>
  </si>
  <si>
    <t xml:space="preserve">Plántula / semilla</t>
  </si>
  <si>
    <t xml:space="preserve">Sustrato y preparación</t>
  </si>
  <si>
    <t xml:space="preserve">Fertilizantes e insumos</t>
  </si>
  <si>
    <t xml:space="preserve">Agua y energía</t>
  </si>
  <si>
    <t xml:space="preserve">Mano de obra</t>
  </si>
  <si>
    <t xml:space="preserve">Control fitosanitario</t>
  </si>
  <si>
    <t xml:space="preserve">Material de postcosecha</t>
  </si>
  <si>
    <t xml:space="preserve">Otros gastos</t>
  </si>
  <si>
    <t xml:space="preserve">COSTO TOTAL</t>
  </si>
  <si>
    <t xml:space="preserve">2 · PRODUCCIÓN Y VENTA</t>
  </si>
  <si>
    <t xml:space="preserve">Tallos comerciales producidos</t>
  </si>
  <si>
    <t xml:space="preserve">Precio de venta por tallo</t>
  </si>
  <si>
    <t xml:space="preserve">3 · RESULTADOS</t>
  </si>
  <si>
    <t xml:space="preserve">Costo por tallo</t>
  </si>
  <si>
    <t xml:space="preserve">Ingreso total estimado</t>
  </si>
  <si>
    <t xml:space="preserve">Utilidad estimada</t>
  </si>
  <si>
    <t xml:space="preserve">Margen de utilidad (%)</t>
  </si>
  <si>
    <t xml:space="preserve">Todos los valores son editables. Ajusta las celdas amarillas con tus datos reales.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</si>
</sst>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General"/>
    <numFmt numFmtId="168" formatCode="\$#,##0"/>
    <numFmt numFmtId="169" formatCode="\$#,##0.00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AD1457"/>
      <name val="Arial"/>
      <family val="0"/>
      <charset val="1"/>
    </font>
    <font>
      <b val="true"/>
      <sz val="11"/>
      <color rgb="FFAD1457"/>
      <name val="Arial"/>
      <family val="0"/>
      <charset val="1"/>
    </font>
    <font>
      <i val="true"/>
      <sz val="9"/>
      <color rgb="FF555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AD145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91E63"/>
        <bgColor rgb="FFAD1457"/>
      </patternFill>
    </fill>
    <fill>
      <patternFill patternType="solid">
        <fgColor rgb="FFFFF0F6"/>
        <bgColor rgb="FFFCE4EC"/>
      </patternFill>
    </fill>
    <fill>
      <patternFill patternType="solid">
        <fgColor rgb="FFAD1457"/>
        <bgColor rgb="FF993366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0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D1457"/>
      <rgbColor rgb="FFFFF9C4"/>
      <rgbColor rgb="FFE5E7EB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2"/>
      <c r="B2" s="2"/>
      <c r="C2" s="2"/>
      <c r="D2" s="2"/>
      <c r="E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5"/>
      <c r="D6" s="5"/>
      <c r="E6" s="5"/>
    </row>
    <row r="8" customFormat="false" ht="15" hidden="false" customHeight="true" outlineLevel="0" collapsed="false">
      <c r="B8" s="6" t="s">
        <v>4</v>
      </c>
      <c r="C8" s="7"/>
      <c r="D8" s="7"/>
      <c r="E8" s="7"/>
    </row>
    <row r="9" customFormat="false" ht="15" hidden="false" customHeight="true" outlineLevel="0" collapsed="false">
      <c r="B9" s="8" t="s">
        <v>5</v>
      </c>
      <c r="C9" s="9" t="n">
        <v>100</v>
      </c>
      <c r="E9" s="10" t="s">
        <v>6</v>
      </c>
    </row>
    <row r="10" customFormat="false" ht="15" hidden="false" customHeight="true" outlineLevel="0" collapsed="false">
      <c r="B10" s="8" t="s">
        <v>7</v>
      </c>
      <c r="C10" s="9" t="n">
        <v>7</v>
      </c>
      <c r="E10" s="10" t="s">
        <v>8</v>
      </c>
    </row>
    <row r="11" customFormat="false" ht="15" hidden="false" customHeight="true" outlineLevel="0" collapsed="false">
      <c r="B11" s="8" t="s">
        <v>9</v>
      </c>
      <c r="C11" s="9" t="n">
        <v>0.5</v>
      </c>
      <c r="E11" s="10" t="s">
        <v>10</v>
      </c>
    </row>
    <row r="12" customFormat="false" ht="15" hidden="false" customHeight="true" outlineLevel="0" collapsed="false">
      <c r="B12" s="8" t="s">
        <v>11</v>
      </c>
      <c r="C12" s="9" t="n">
        <v>1.8</v>
      </c>
      <c r="E12" s="10" t="s">
        <v>12</v>
      </c>
    </row>
    <row r="13" customFormat="false" ht="15" hidden="false" customHeight="true" outlineLevel="0" collapsed="false">
      <c r="B13" s="8" t="s">
        <v>13</v>
      </c>
      <c r="C13" s="9" t="n">
        <v>5.8</v>
      </c>
      <c r="E13" s="10" t="s">
        <v>14</v>
      </c>
    </row>
    <row r="15" customFormat="false" ht="15" hidden="false" customHeight="true" outlineLevel="0" collapsed="false">
      <c r="B15" s="6" t="s">
        <v>15</v>
      </c>
      <c r="C15" s="7"/>
      <c r="D15" s="7"/>
      <c r="E15" s="7"/>
    </row>
    <row r="16" customFormat="false" ht="15" hidden="false" customHeight="true" outlineLevel="0" collapsed="false">
      <c r="B16" s="11" t="s">
        <v>16</v>
      </c>
      <c r="C16" s="12" t="n">
        <f aca="false">C9*C10</f>
        <v>700</v>
      </c>
      <c r="D16" s="13" t="s">
        <v>17</v>
      </c>
      <c r="E16" s="14"/>
    </row>
    <row r="17" customFormat="false" ht="15" hidden="false" customHeight="true" outlineLevel="0" collapsed="false">
      <c r="B17" s="11" t="s">
        <v>18</v>
      </c>
      <c r="C17" s="15" t="n">
        <f aca="false">C9*C10*C11</f>
        <v>350</v>
      </c>
      <c r="D17" s="13" t="s">
        <v>19</v>
      </c>
      <c r="E17" s="14"/>
    </row>
    <row r="18" customFormat="false" ht="15" hidden="false" customHeight="true" outlineLevel="0" collapsed="false">
      <c r="B18" s="11" t="s">
        <v>20</v>
      </c>
      <c r="C18" s="15" t="n">
        <f aca="false">C9*C10*C11*7</f>
        <v>2450</v>
      </c>
      <c r="D18" s="13" t="s">
        <v>21</v>
      </c>
      <c r="E18" s="14"/>
    </row>
    <row r="19" customFormat="false" ht="15" hidden="false" customHeight="true" outlineLevel="0" collapsed="false">
      <c r="B19" s="11" t="s">
        <v>22</v>
      </c>
      <c r="C19" s="15" t="n">
        <f aca="false">C9*C10*C11*30</f>
        <v>10500</v>
      </c>
      <c r="D19" s="13" t="s">
        <v>23</v>
      </c>
      <c r="E19" s="14"/>
    </row>
    <row r="21" customFormat="false" ht="15" hidden="false" customHeight="true" outlineLevel="0" collapsed="false">
      <c r="B21" s="5" t="s">
        <v>24</v>
      </c>
      <c r="C21" s="5"/>
      <c r="D21" s="5"/>
      <c r="E21" s="5"/>
    </row>
  </sheetData>
  <mergeCells count="4">
    <mergeCell ref="A1:E2"/>
    <mergeCell ref="A3:E3"/>
    <mergeCell ref="B6:E6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5" min="4" style="1" width="14"/>
    <col collapsed="false" customWidth="true" hidden="false" outlineLevel="0" max="6" min="6" style="1" width="16"/>
  </cols>
  <sheetData>
    <row r="1" customFormat="false" ht="19.5" hidden="false" customHeight="true" outlineLevel="0" collapsed="false">
      <c r="A1" s="2" t="s">
        <v>25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26</v>
      </c>
      <c r="B3" s="3"/>
      <c r="C3" s="3"/>
      <c r="D3" s="3"/>
      <c r="E3" s="3"/>
      <c r="F3" s="3"/>
    </row>
    <row r="5" customFormat="false" ht="15" hidden="false" customHeight="true" outlineLevel="0" collapsed="false">
      <c r="B5" s="16" t="s">
        <v>27</v>
      </c>
      <c r="C5" s="16" t="s">
        <v>28</v>
      </c>
      <c r="D5" s="16" t="s">
        <v>29</v>
      </c>
      <c r="E5" s="16" t="s">
        <v>30</v>
      </c>
      <c r="F5" s="16" t="s">
        <v>31</v>
      </c>
    </row>
    <row r="6" customFormat="false" ht="15" hidden="false" customHeight="true" outlineLevel="0" collapsed="false">
      <c r="B6" s="9"/>
      <c r="C6" s="9"/>
      <c r="D6" s="9"/>
      <c r="E6" s="9"/>
      <c r="F6" s="17" t="str">
        <f aca="false">IF(AND(D6="",E6=""),"",N(D6)+N(E6))</f>
        <v/>
      </c>
    </row>
    <row r="7" customFormat="false" ht="15" hidden="false" customHeight="true" outlineLevel="0" collapsed="false">
      <c r="B7" s="9"/>
      <c r="C7" s="9"/>
      <c r="D7" s="9"/>
      <c r="E7" s="9"/>
      <c r="F7" s="17" t="str">
        <f aca="false">IF(AND(D7="",E7=""),"",N(D7)+N(E7))</f>
        <v/>
      </c>
    </row>
    <row r="8" customFormat="false" ht="15" hidden="false" customHeight="true" outlineLevel="0" collapsed="false">
      <c r="B8" s="9"/>
      <c r="C8" s="9"/>
      <c r="D8" s="9"/>
      <c r="E8" s="9"/>
      <c r="F8" s="17" t="str">
        <f aca="false">IF(AND(D8="",E8=""),"",N(D8)+N(E8))</f>
        <v/>
      </c>
    </row>
    <row r="9" customFormat="false" ht="15" hidden="false" customHeight="true" outlineLevel="0" collapsed="false">
      <c r="B9" s="9"/>
      <c r="C9" s="9"/>
      <c r="D9" s="9"/>
      <c r="E9" s="9"/>
      <c r="F9" s="17" t="str">
        <f aca="false">IF(AND(D9="",E9=""),"",N(D9)+N(E9))</f>
        <v/>
      </c>
    </row>
    <row r="10" customFormat="false" ht="15" hidden="false" customHeight="true" outlineLevel="0" collapsed="false">
      <c r="B10" s="9"/>
      <c r="C10" s="9"/>
      <c r="D10" s="9"/>
      <c r="E10" s="9"/>
      <c r="F10" s="17" t="str">
        <f aca="false">IF(AND(D10="",E10=""),"",N(D10)+N(E10))</f>
        <v/>
      </c>
    </row>
    <row r="11" customFormat="false" ht="15" hidden="false" customHeight="true" outlineLevel="0" collapsed="false">
      <c r="B11" s="9"/>
      <c r="C11" s="9"/>
      <c r="D11" s="9"/>
      <c r="E11" s="9"/>
      <c r="F11" s="17" t="str">
        <f aca="false">IF(AND(D11="",E11=""),"",N(D11)+N(E11))</f>
        <v/>
      </c>
    </row>
    <row r="12" customFormat="false" ht="15" hidden="false" customHeight="true" outlineLevel="0" collapsed="false">
      <c r="B12" s="9"/>
      <c r="C12" s="9"/>
      <c r="D12" s="9"/>
      <c r="E12" s="9"/>
      <c r="F12" s="17" t="str">
        <f aca="false">IF(AND(D12="",E12=""),"",N(D12)+N(E12))</f>
        <v/>
      </c>
    </row>
    <row r="13" customFormat="false" ht="15" hidden="false" customHeight="true" outlineLevel="0" collapsed="false">
      <c r="B13" s="9"/>
      <c r="C13" s="9"/>
      <c r="D13" s="9"/>
      <c r="E13" s="9"/>
      <c r="F13" s="17" t="str">
        <f aca="false">IF(AND(D13="",E13=""),"",N(D13)+N(E13))</f>
        <v/>
      </c>
    </row>
    <row r="14" customFormat="false" ht="15" hidden="false" customHeight="true" outlineLevel="0" collapsed="false">
      <c r="B14" s="9"/>
      <c r="C14" s="9"/>
      <c r="D14" s="9"/>
      <c r="E14" s="9"/>
      <c r="F14" s="17" t="str">
        <f aca="false">IF(AND(D14="",E14=""),"",N(D14)+N(E14))</f>
        <v/>
      </c>
    </row>
    <row r="15" customFormat="false" ht="15" hidden="false" customHeight="true" outlineLevel="0" collapsed="false">
      <c r="B15" s="9"/>
      <c r="C15" s="9"/>
      <c r="D15" s="9"/>
      <c r="E15" s="9"/>
      <c r="F15" s="17" t="str">
        <f aca="false">IF(AND(D15="",E15=""),"",N(D15)+N(E15))</f>
        <v/>
      </c>
    </row>
    <row r="16" customFormat="false" ht="15" hidden="false" customHeight="true" outlineLevel="0" collapsed="false">
      <c r="B16" s="9"/>
      <c r="C16" s="9"/>
      <c r="D16" s="9"/>
      <c r="E16" s="9"/>
      <c r="F16" s="17" t="str">
        <f aca="false">IF(AND(D16="",E16=""),"",N(D16)+N(E16))</f>
        <v/>
      </c>
    </row>
    <row r="17" customFormat="false" ht="15" hidden="false" customHeight="true" outlineLevel="0" collapsed="false">
      <c r="B17" s="9"/>
      <c r="C17" s="9"/>
      <c r="D17" s="9"/>
      <c r="E17" s="9"/>
      <c r="F17" s="17" t="str">
        <f aca="false">IF(AND(D17="",E17=""),"",N(D17)+N(E17))</f>
        <v/>
      </c>
    </row>
    <row r="18" customFormat="false" ht="15" hidden="false" customHeight="true" outlineLevel="0" collapsed="false">
      <c r="B18" s="9"/>
      <c r="C18" s="9"/>
      <c r="D18" s="9"/>
      <c r="E18" s="9"/>
      <c r="F18" s="17" t="str">
        <f aca="false">IF(AND(D18="",E18=""),"",N(D18)+N(E18))</f>
        <v/>
      </c>
    </row>
    <row r="19" customFormat="false" ht="15" hidden="false" customHeight="true" outlineLevel="0" collapsed="false">
      <c r="B19" s="9"/>
      <c r="C19" s="9"/>
      <c r="D19" s="9"/>
      <c r="E19" s="9"/>
      <c r="F19" s="17" t="str">
        <f aca="false">IF(AND(D19="",E19=""),"",N(D19)+N(E19))</f>
        <v/>
      </c>
    </row>
    <row r="20" customFormat="false" ht="15" hidden="false" customHeight="true" outlineLevel="0" collapsed="false">
      <c r="B20" s="9"/>
      <c r="C20" s="9"/>
      <c r="D20" s="9"/>
      <c r="E20" s="9"/>
      <c r="F20" s="17" t="str">
        <f aca="false">IF(AND(D20="",E20=""),"",N(D20)+N(E20))</f>
        <v/>
      </c>
    </row>
    <row r="21" customFormat="false" ht="15" hidden="false" customHeight="true" outlineLevel="0" collapsed="false">
      <c r="B21" s="9"/>
      <c r="C21" s="9"/>
      <c r="D21" s="9"/>
      <c r="E21" s="9"/>
      <c r="F21" s="17" t="str">
        <f aca="false">IF(AND(D21="",E21=""),"",N(D21)+N(E21))</f>
        <v/>
      </c>
    </row>
    <row r="22" customFormat="false" ht="15" hidden="false" customHeight="true" outlineLevel="0" collapsed="false">
      <c r="B22" s="9"/>
      <c r="C22" s="9"/>
      <c r="D22" s="9"/>
      <c r="E22" s="9"/>
      <c r="F22" s="17" t="str">
        <f aca="false">IF(AND(D22="",E22=""),"",N(D22)+N(E22))</f>
        <v/>
      </c>
    </row>
    <row r="23" customFormat="false" ht="15" hidden="false" customHeight="true" outlineLevel="0" collapsed="false">
      <c r="B23" s="9"/>
      <c r="C23" s="9"/>
      <c r="D23" s="9"/>
      <c r="E23" s="9"/>
      <c r="F23" s="17" t="str">
        <f aca="false">IF(AND(D23="",E23=""),"",N(D23)+N(E23))</f>
        <v/>
      </c>
    </row>
    <row r="24" customFormat="false" ht="15" hidden="false" customHeight="true" outlineLevel="0" collapsed="false">
      <c r="B24" s="9"/>
      <c r="C24" s="9"/>
      <c r="D24" s="9"/>
      <c r="E24" s="9"/>
      <c r="F24" s="17" t="str">
        <f aca="false">IF(AND(D24="",E24=""),"",N(D24)+N(E24))</f>
        <v/>
      </c>
    </row>
    <row r="25" customFormat="false" ht="15" hidden="false" customHeight="true" outlineLevel="0" collapsed="false">
      <c r="B25" s="9"/>
      <c r="C25" s="9"/>
      <c r="D25" s="9"/>
      <c r="E25" s="9"/>
      <c r="F25" s="17" t="str">
        <f aca="false">IF(AND(D25="",E25=""),"",N(D25)+N(E25))</f>
        <v/>
      </c>
    </row>
    <row r="26" customFormat="false" ht="15" hidden="false" customHeight="true" outlineLevel="0" collapsed="false">
      <c r="B26" s="18" t="s">
        <v>32</v>
      </c>
      <c r="C26" s="19" t="n">
        <f aca="false">SUM(C6:C25)</f>
        <v>0</v>
      </c>
      <c r="D26" s="19" t="n">
        <f aca="false">SUM(D6:D25)</f>
        <v>0</v>
      </c>
      <c r="E26" s="20"/>
      <c r="F26" s="19" t="n">
        <f aca="false">SUM(F6:F25)</f>
        <v>0</v>
      </c>
    </row>
    <row r="28" customFormat="false" ht="15" hidden="false" customHeight="true" outlineLevel="0" collapsed="false">
      <c r="B28" s="5" t="s">
        <v>33</v>
      </c>
      <c r="C28" s="5"/>
      <c r="D28" s="5"/>
      <c r="E28" s="5"/>
      <c r="F28" s="5"/>
    </row>
  </sheetData>
  <mergeCells count="3">
    <mergeCell ref="A1:F2"/>
    <mergeCell ref="A3:F3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6"/>
  </cols>
  <sheetData>
    <row r="1" customFormat="false" ht="19.5" hidden="false" customHeight="true" outlineLevel="0" collapsed="false">
      <c r="A1" s="2" t="s">
        <v>34</v>
      </c>
      <c r="B1" s="2"/>
      <c r="C1" s="2"/>
      <c r="D1" s="2"/>
      <c r="E1" s="2"/>
    </row>
    <row r="2" customFormat="false" ht="15.75" hidden="false" customHeight="true" outlineLevel="0" collapsed="false">
      <c r="A2" s="2"/>
      <c r="B2" s="2"/>
      <c r="C2" s="2"/>
      <c r="D2" s="2"/>
      <c r="E2" s="2"/>
    </row>
    <row r="3" customFormat="false" ht="19.5" hidden="false" customHeight="true" outlineLevel="0" collapsed="false">
      <c r="A3" s="3" t="s">
        <v>35</v>
      </c>
      <c r="B3" s="3"/>
      <c r="C3" s="3"/>
      <c r="D3" s="3"/>
      <c r="E3" s="3"/>
    </row>
    <row r="5" customFormat="false" ht="15" hidden="false" customHeight="true" outlineLevel="0" collapsed="false">
      <c r="B5" s="6" t="s">
        <v>36</v>
      </c>
      <c r="C5" s="7"/>
      <c r="D5" s="7"/>
      <c r="E5" s="7"/>
    </row>
    <row r="6" customFormat="false" ht="15" hidden="false" customHeight="true" outlineLevel="0" collapsed="false">
      <c r="B6" s="8" t="s">
        <v>37</v>
      </c>
      <c r="C6" s="21" t="n">
        <v>5000</v>
      </c>
    </row>
    <row r="7" customFormat="false" ht="15" hidden="false" customHeight="true" outlineLevel="0" collapsed="false">
      <c r="B7" s="8" t="s">
        <v>38</v>
      </c>
      <c r="C7" s="21" t="n">
        <v>3000</v>
      </c>
    </row>
    <row r="8" customFormat="false" ht="15" hidden="false" customHeight="true" outlineLevel="0" collapsed="false">
      <c r="B8" s="8" t="s">
        <v>39</v>
      </c>
      <c r="C8" s="21" t="n">
        <v>4000</v>
      </c>
    </row>
    <row r="9" customFormat="false" ht="15" hidden="false" customHeight="true" outlineLevel="0" collapsed="false">
      <c r="B9" s="8" t="s">
        <v>40</v>
      </c>
      <c r="C9" s="21" t="n">
        <v>1500</v>
      </c>
    </row>
    <row r="10" customFormat="false" ht="15" hidden="false" customHeight="true" outlineLevel="0" collapsed="false">
      <c r="B10" s="8" t="s">
        <v>41</v>
      </c>
      <c r="C10" s="21" t="n">
        <v>8000</v>
      </c>
    </row>
    <row r="11" customFormat="false" ht="15" hidden="false" customHeight="true" outlineLevel="0" collapsed="false">
      <c r="B11" s="8" t="s">
        <v>42</v>
      </c>
      <c r="C11" s="21" t="n">
        <v>2000</v>
      </c>
    </row>
    <row r="12" customFormat="false" ht="15" hidden="false" customHeight="true" outlineLevel="0" collapsed="false">
      <c r="B12" s="8" t="s">
        <v>43</v>
      </c>
      <c r="C12" s="21" t="n">
        <v>1500</v>
      </c>
    </row>
    <row r="13" customFormat="false" ht="15" hidden="false" customHeight="true" outlineLevel="0" collapsed="false">
      <c r="B13" s="8" t="s">
        <v>44</v>
      </c>
      <c r="C13" s="21" t="n">
        <v>1000</v>
      </c>
    </row>
    <row r="14" customFormat="false" ht="15" hidden="false" customHeight="true" outlineLevel="0" collapsed="false">
      <c r="B14" s="22" t="s">
        <v>45</v>
      </c>
      <c r="C14" s="23" t="n">
        <f aca="false">SUM(C6:C13)</f>
        <v>26000</v>
      </c>
    </row>
    <row r="16" customFormat="false" ht="15" hidden="false" customHeight="true" outlineLevel="0" collapsed="false">
      <c r="B16" s="6" t="s">
        <v>46</v>
      </c>
      <c r="C16" s="7"/>
      <c r="D16" s="7"/>
      <c r="E16" s="7"/>
    </row>
    <row r="17" customFormat="false" ht="15" hidden="false" customHeight="true" outlineLevel="0" collapsed="false">
      <c r="B17" s="8" t="s">
        <v>47</v>
      </c>
      <c r="C17" s="24" t="n">
        <v>4200</v>
      </c>
    </row>
    <row r="18" customFormat="false" ht="15" hidden="false" customHeight="true" outlineLevel="0" collapsed="false">
      <c r="B18" s="8" t="s">
        <v>48</v>
      </c>
      <c r="C18" s="25" t="n">
        <v>9</v>
      </c>
    </row>
    <row r="20" customFormat="false" ht="15" hidden="false" customHeight="true" outlineLevel="0" collapsed="false">
      <c r="B20" s="6" t="s">
        <v>49</v>
      </c>
      <c r="C20" s="7"/>
      <c r="D20" s="7"/>
      <c r="E20" s="7"/>
    </row>
    <row r="21" customFormat="false" ht="15" hidden="false" customHeight="true" outlineLevel="0" collapsed="false">
      <c r="B21" s="11" t="s">
        <v>50</v>
      </c>
      <c r="C21" s="26" t="n">
        <f aca="false">IF(C17=0,0,C14/C17)</f>
        <v>6.19047619047619</v>
      </c>
      <c r="D21" s="14"/>
      <c r="E21" s="14"/>
    </row>
    <row r="22" customFormat="false" ht="15" hidden="false" customHeight="true" outlineLevel="0" collapsed="false">
      <c r="B22" s="11" t="s">
        <v>51</v>
      </c>
      <c r="C22" s="27" t="n">
        <f aca="false">C17*C18</f>
        <v>37800</v>
      </c>
      <c r="D22" s="14"/>
      <c r="E22" s="14"/>
    </row>
    <row r="23" customFormat="false" ht="15" hidden="false" customHeight="true" outlineLevel="0" collapsed="false">
      <c r="B23" s="11" t="s">
        <v>52</v>
      </c>
      <c r="C23" s="27" t="n">
        <f aca="false">C17*C18-C14</f>
        <v>11800</v>
      </c>
      <c r="D23" s="14"/>
      <c r="E23" s="14"/>
    </row>
    <row r="24" customFormat="false" ht="15" hidden="false" customHeight="true" outlineLevel="0" collapsed="false">
      <c r="B24" s="11" t="s">
        <v>53</v>
      </c>
      <c r="C24" s="28" t="n">
        <f aca="false">IF(C17*C18=0,0,(C17*C18-C14)/(C17*C18))</f>
        <v>0.312169312169312</v>
      </c>
      <c r="D24" s="14"/>
      <c r="E24" s="14"/>
    </row>
    <row r="26" customFormat="false" ht="15" hidden="false" customHeight="true" outlineLevel="0" collapsed="false">
      <c r="B26" s="5" t="s">
        <v>54</v>
      </c>
      <c r="C26" s="5"/>
      <c r="D26" s="5"/>
      <c r="E26" s="5"/>
    </row>
  </sheetData>
  <mergeCells count="3">
    <mergeCell ref="A1:E2"/>
    <mergeCell ref="A3:E3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2026-07-13T23:42:46Z</dcterms:created>
  <dc:creator>openpyxl</dc:creator>
  <dc:description/>
  <dc:language>en-US</dc:language>
  <cp:lastModifiedBy/>
  <dcterms:modified xsi:type="dcterms:W3CDTF">2026-07-13T23:43:15Z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